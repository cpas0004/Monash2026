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ash\Monash2026\FIT3179\Lab 5\"/>
    </mc:Choice>
  </mc:AlternateContent>
  <xr:revisionPtr revIDLastSave="0" documentId="13_ncr:1_{234F8314-C263-44C1-9753-3481A87288F3}" xr6:coauthVersionLast="47" xr6:coauthVersionMax="47" xr10:uidLastSave="{00000000-0000-0000-0000-000000000000}"/>
  <bookViews>
    <workbookView xWindow="-120" yWindow="-120" windowWidth="29040" windowHeight="15720" xr2:uid="{61FCF137-0B11-4E10-AFA6-9BF2893778EA}"/>
  </bookViews>
  <sheets>
    <sheet name="Task 3" sheetId="1" r:id="rId1"/>
    <sheet name="IS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2" i="1"/>
  <c r="F4" i="2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<sst xmlns="http://schemas.openxmlformats.org/spreadsheetml/2006/main" count="127" uniqueCount="67">
  <si>
    <t>Case A</t>
  </si>
  <si>
    <t>Case B</t>
  </si>
  <si>
    <t>Case C</t>
  </si>
  <si>
    <t>Case D</t>
  </si>
  <si>
    <t>Case E</t>
  </si>
  <si>
    <t>Chip</t>
  </si>
  <si>
    <t>ARM Cortex-A5</t>
  </si>
  <si>
    <t>Qualcomm Snapdragon 410</t>
  </si>
  <si>
    <t>Qualcomm Snapdragon 888</t>
  </si>
  <si>
    <t>Apple M2 Pro</t>
  </si>
  <si>
    <t>Intel Core i9-13900K</t>
  </si>
  <si>
    <t>Clock freq (GHz</t>
  </si>
  <si>
    <t xml:space="preserve">j pseudoisr </t>
  </si>
  <si>
    <t># PRETEND DISABLE IRQS</t>
  </si>
  <si>
    <t># Initialise stack pointer</t>
  </si>
  <si>
    <t>la $s6 kstack</t>
  </si>
  <si>
    <t># Push contents of $t0 - $t6 to the stack</t>
  </si>
  <si>
    <t>sw $t0 0($s6)</t>
  </si>
  <si>
    <t>addi $s6, $s6, 4</t>
  </si>
  <si>
    <t>sw $t1 0($s6)</t>
  </si>
  <si>
    <t>sw $t2 0($s6)</t>
  </si>
  <si>
    <t>sw $t3 0($s6)</t>
  </si>
  <si>
    <t>sw $t4 0($s6)</t>
  </si>
  <si>
    <t>sw $t5 0($s6)</t>
  </si>
  <si>
    <t>sw $t6 0($s6)</t>
  </si>
  <si>
    <t># Setting registers $t0 - $t6 to distinct values</t>
  </si>
  <si>
    <t>li $t0, 5</t>
  </si>
  <si>
    <t>li $t1, 10</t>
  </si>
  <si>
    <t>li $t2, 15</t>
  </si>
  <si>
    <t>li $t3, 20</t>
  </si>
  <si>
    <t>li $t4, 25</t>
  </si>
  <si>
    <t>li $t5, 30</t>
  </si>
  <si>
    <t>li $t6, 35</t>
  </si>
  <si>
    <t># Computing average and storing in $s5 (mlfo gets the quotient from the LO register</t>
  </si>
  <si>
    <t>add $s5, $t0, $t1</t>
  </si>
  <si>
    <t>add $s5, $s5, $t2</t>
  </si>
  <si>
    <t>add $s5, $s5, $t3</t>
  </si>
  <si>
    <t>add $s5, $s5, $t4</t>
  </si>
  <si>
    <t>add $s5, $s5, $t5</t>
  </si>
  <si>
    <t>add $s5, $s5, $t6</t>
  </si>
  <si>
    <t>li $t0, 7</t>
  </si>
  <si>
    <t>div $s5, $t0</t>
  </si>
  <si>
    <t>mflo $s5</t>
  </si>
  <si>
    <t># Popping values off the stack</t>
  </si>
  <si>
    <t>addi $s6, $s6, -4</t>
  </si>
  <si>
    <t>lw $t6, 0($s6)</t>
  </si>
  <si>
    <t>lw $t5, 0($s6)</t>
  </si>
  <si>
    <t>lw $t4, 0($s6)</t>
  </si>
  <si>
    <t>lw $t3, 0($s6)</t>
  </si>
  <si>
    <t>lw $t2, 0($s6)</t>
  </si>
  <si>
    <t>lw $t1, 0($s6)</t>
  </si>
  <si>
    <t>lw $t0, 0($s6)</t>
  </si>
  <si>
    <t># PRETEND ENABLE IRQS</t>
  </si>
  <si>
    <t>j returnfrompseudoisr</t>
  </si>
  <si>
    <t>Instruction Type</t>
  </si>
  <si>
    <t>Cycles</t>
  </si>
  <si>
    <t>load</t>
  </si>
  <si>
    <t>store</t>
  </si>
  <si>
    <t>register op</t>
  </si>
  <si>
    <t>simple int op</t>
  </si>
  <si>
    <t>complex int op</t>
  </si>
  <si>
    <t>branch</t>
  </si>
  <si>
    <t>jump</t>
  </si>
  <si>
    <t>Instruction</t>
  </si>
  <si>
    <t>Type</t>
  </si>
  <si>
    <t>Total cycles</t>
  </si>
  <si>
    <t>Time to Run ISR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</si>
</sst>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4248-073A-4971-A4A0-E055F99A3237}">
  <dimension ref="A1:D15"/>
  <sheetViews>
    <sheetView tabSelected="1" workbookViewId="0">
      <selection activeCell="F18" sqref="F18"/>
    </sheetView>
  </sheetViews>
  <sheetFormatPr defaultRowHeight="15" x14ac:dyDescent="0.25"/>
  <cols>
    <col min="2" max="2" width="26.42578125" customWidth="1"/>
    <col min="3" max="3" width="17.42578125" customWidth="1"/>
    <col min="4" max="4" width="21.140625" customWidth="1"/>
    <col min="5" max="5" width="14.85546875" customWidth="1"/>
    <col min="6" max="6" width="14.5703125" customWidth="1"/>
  </cols>
  <sheetData>
    <row r="1" spans="1:4" x14ac:dyDescent="0.25">
      <c r="B1" t="s">
        <v>5</v>
      </c>
      <c r="C1" t="s">
        <v>11</v>
      </c>
      <c r="D1" s="2" t="s">
        <v>66</v>
      </c>
    </row>
    <row r="2" spans="1:4" x14ac:dyDescent="0.25">
      <c r="A2" t="s">
        <v>0</v>
      </c>
      <c r="B2" t="s">
        <v>6</v>
      </c>
      <c r="C2">
        <v>0.4</v>
      </c>
      <c r="D2" s="2">
        <f>1/(C2*10^9) * ISR!F4 * 10^9</f>
        <v>550</v>
      </c>
    </row>
    <row r="3" spans="1:4" x14ac:dyDescent="0.25">
      <c r="A3" t="s">
        <v>1</v>
      </c>
      <c r="B3" t="s">
        <v>7</v>
      </c>
      <c r="C3">
        <v>1.2</v>
      </c>
      <c r="D3" s="2">
        <f>1/(C3*10^9) * ISR!F4 * 10^9</f>
        <v>183.33333333333334</v>
      </c>
    </row>
    <row r="4" spans="1:4" x14ac:dyDescent="0.25">
      <c r="A4" t="s">
        <v>2</v>
      </c>
      <c r="B4" t="s">
        <v>8</v>
      </c>
      <c r="C4">
        <v>2.84</v>
      </c>
      <c r="D4" s="2">
        <f>1/(C4*10^9) * ISR!F4 * 10^9</f>
        <v>77.464788732394368</v>
      </c>
    </row>
    <row r="5" spans="1:4" x14ac:dyDescent="0.25">
      <c r="A5" t="s">
        <v>3</v>
      </c>
      <c r="B5" t="s">
        <v>9</v>
      </c>
      <c r="C5">
        <v>3.78</v>
      </c>
      <c r="D5" s="2">
        <f>1/(C5*10^9) * ISR!F4 * 10^9</f>
        <v>58.201058201058203</v>
      </c>
    </row>
    <row r="6" spans="1:4" x14ac:dyDescent="0.25">
      <c r="A6" t="s">
        <v>4</v>
      </c>
      <c r="B6" t="s">
        <v>10</v>
      </c>
      <c r="C6">
        <v>5.3</v>
      </c>
      <c r="D6" s="2">
        <f>1/(C6*10^9) * ISR!F4 * 10^9</f>
        <v>41.509433962264147</v>
      </c>
    </row>
    <row r="8" spans="1:4" x14ac:dyDescent="0.25">
      <c r="B8" t="s">
        <v>54</v>
      </c>
      <c r="C8" t="s">
        <v>55</v>
      </c>
    </row>
    <row r="9" spans="1:4" x14ac:dyDescent="0.25">
      <c r="B9" t="s">
        <v>56</v>
      </c>
      <c r="C9">
        <v>5</v>
      </c>
    </row>
    <row r="10" spans="1:4" x14ac:dyDescent="0.25">
      <c r="B10" t="s">
        <v>57</v>
      </c>
      <c r="C10">
        <v>4</v>
      </c>
    </row>
    <row r="11" spans="1:4" x14ac:dyDescent="0.25">
      <c r="B11" t="s">
        <v>58</v>
      </c>
      <c r="C11">
        <v>2</v>
      </c>
    </row>
    <row r="12" spans="1:4" x14ac:dyDescent="0.25">
      <c r="B12" t="s">
        <v>59</v>
      </c>
      <c r="C12">
        <v>4</v>
      </c>
    </row>
    <row r="13" spans="1:4" x14ac:dyDescent="0.25">
      <c r="B13" t="s">
        <v>60</v>
      </c>
      <c r="C13">
        <v>32</v>
      </c>
    </row>
    <row r="14" spans="1:4" x14ac:dyDescent="0.25">
      <c r="B14" t="s">
        <v>61</v>
      </c>
      <c r="C14">
        <v>3</v>
      </c>
    </row>
    <row r="15" spans="1:4" x14ac:dyDescent="0.25">
      <c r="B15" t="s">
        <v>62</v>
      </c>
      <c r="C15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DEBC-FB8C-4217-BBB0-89C90486D19D}">
  <dimension ref="A1:F65"/>
  <sheetViews>
    <sheetView workbookViewId="0">
      <selection activeCell="I24" sqref="I24"/>
    </sheetView>
  </sheetViews>
  <sheetFormatPr defaultRowHeight="15" x14ac:dyDescent="0.25"/>
  <cols>
    <col min="1" max="1" width="25.85546875" style="1" customWidth="1"/>
    <col min="2" max="2" width="14.7109375" customWidth="1"/>
    <col min="3" max="3" width="14" customWidth="1"/>
    <col min="5" max="5" width="11.28515625" customWidth="1"/>
    <col min="6" max="6" width="13" customWidth="1"/>
  </cols>
  <sheetData>
    <row r="1" spans="1:6" x14ac:dyDescent="0.25">
      <c r="A1" s="1" t="s">
        <v>63</v>
      </c>
      <c r="B1" t="s">
        <v>64</v>
      </c>
      <c r="C1" t="s">
        <v>55</v>
      </c>
    </row>
    <row r="2" spans="1:6" x14ac:dyDescent="0.25">
      <c r="C2" t="str" cm="1">
        <f t="array" ref="C2:C65">_xlfn.IFNA(_xlfn.XLOOKUP(B2:B65, 'Task 3'!B9:B15, 'Task 3'!C9:C15), "")</f>
        <v/>
      </c>
    </row>
    <row r="3" spans="1:6" x14ac:dyDescent="0.25">
      <c r="A3" s="1" t="s">
        <v>12</v>
      </c>
      <c r="B3" t="s">
        <v>62</v>
      </c>
      <c r="C3">
        <v>3</v>
      </c>
    </row>
    <row r="4" spans="1:6" x14ac:dyDescent="0.25">
      <c r="C4" t="str">
        <v/>
      </c>
      <c r="E4" s="2" t="s">
        <v>65</v>
      </c>
      <c r="F4" s="2">
        <f>SUM(_xlfn.ANCHORARRAY(C2))</f>
        <v>220</v>
      </c>
    </row>
    <row r="5" spans="1:6" x14ac:dyDescent="0.25">
      <c r="A5" s="1" t="s">
        <v>13</v>
      </c>
      <c r="C5" t="str">
        <v/>
      </c>
    </row>
    <row r="6" spans="1:6" x14ac:dyDescent="0.25">
      <c r="C6" t="str">
        <v/>
      </c>
    </row>
    <row r="7" spans="1:6" x14ac:dyDescent="0.25">
      <c r="A7" s="1" t="s">
        <v>14</v>
      </c>
      <c r="C7" t="str">
        <v/>
      </c>
    </row>
    <row r="8" spans="1:6" x14ac:dyDescent="0.25">
      <c r="A8" s="1" t="s">
        <v>15</v>
      </c>
      <c r="B8" t="s">
        <v>56</v>
      </c>
      <c r="C8">
        <v>5</v>
      </c>
    </row>
    <row r="9" spans="1:6" x14ac:dyDescent="0.25">
      <c r="C9" t="str">
        <v/>
      </c>
    </row>
    <row r="10" spans="1:6" ht="30" x14ac:dyDescent="0.25">
      <c r="A10" s="1" t="s">
        <v>16</v>
      </c>
      <c r="C10" t="str">
        <v/>
      </c>
    </row>
    <row r="11" spans="1:6" x14ac:dyDescent="0.25">
      <c r="A11" s="1" t="s">
        <v>17</v>
      </c>
      <c r="B11" t="s">
        <v>57</v>
      </c>
      <c r="C11">
        <v>4</v>
      </c>
    </row>
    <row r="12" spans="1:6" x14ac:dyDescent="0.25">
      <c r="A12" s="1" t="s">
        <v>18</v>
      </c>
      <c r="B12" t="s">
        <v>59</v>
      </c>
      <c r="C12">
        <v>4</v>
      </c>
    </row>
    <row r="13" spans="1:6" x14ac:dyDescent="0.25">
      <c r="A13" s="1" t="s">
        <v>19</v>
      </c>
      <c r="B13" t="s">
        <v>57</v>
      </c>
      <c r="C13">
        <v>4</v>
      </c>
    </row>
    <row r="14" spans="1:6" x14ac:dyDescent="0.25">
      <c r="A14" s="1" t="s">
        <v>18</v>
      </c>
      <c r="B14" t="s">
        <v>59</v>
      </c>
      <c r="C14">
        <v>4</v>
      </c>
    </row>
    <row r="15" spans="1:6" x14ac:dyDescent="0.25">
      <c r="A15" s="1" t="s">
        <v>20</v>
      </c>
      <c r="B15" t="s">
        <v>57</v>
      </c>
      <c r="C15">
        <v>4</v>
      </c>
    </row>
    <row r="16" spans="1:6" x14ac:dyDescent="0.25">
      <c r="A16" s="1" t="s">
        <v>18</v>
      </c>
      <c r="B16" t="s">
        <v>59</v>
      </c>
      <c r="C16">
        <v>4</v>
      </c>
    </row>
    <row r="17" spans="1:3" x14ac:dyDescent="0.25">
      <c r="A17" s="1" t="s">
        <v>21</v>
      </c>
      <c r="B17" t="s">
        <v>57</v>
      </c>
      <c r="C17">
        <v>4</v>
      </c>
    </row>
    <row r="18" spans="1:3" x14ac:dyDescent="0.25">
      <c r="A18" s="1" t="s">
        <v>18</v>
      </c>
      <c r="B18" t="s">
        <v>59</v>
      </c>
      <c r="C18">
        <v>4</v>
      </c>
    </row>
    <row r="19" spans="1:3" x14ac:dyDescent="0.25">
      <c r="A19" s="1" t="s">
        <v>22</v>
      </c>
      <c r="B19" t="s">
        <v>57</v>
      </c>
      <c r="C19">
        <v>4</v>
      </c>
    </row>
    <row r="20" spans="1:3" x14ac:dyDescent="0.25">
      <c r="A20" s="1" t="s">
        <v>18</v>
      </c>
      <c r="B20" t="s">
        <v>59</v>
      </c>
      <c r="C20">
        <v>4</v>
      </c>
    </row>
    <row r="21" spans="1:3" x14ac:dyDescent="0.25">
      <c r="A21" s="1" t="s">
        <v>23</v>
      </c>
      <c r="B21" t="s">
        <v>57</v>
      </c>
      <c r="C21">
        <v>4</v>
      </c>
    </row>
    <row r="22" spans="1:3" x14ac:dyDescent="0.25">
      <c r="A22" s="1" t="s">
        <v>18</v>
      </c>
      <c r="B22" t="s">
        <v>59</v>
      </c>
      <c r="C22">
        <v>4</v>
      </c>
    </row>
    <row r="23" spans="1:3" x14ac:dyDescent="0.25">
      <c r="A23" s="1" t="s">
        <v>24</v>
      </c>
      <c r="B23" t="s">
        <v>57</v>
      </c>
      <c r="C23">
        <v>4</v>
      </c>
    </row>
    <row r="24" spans="1:3" x14ac:dyDescent="0.25">
      <c r="A24" s="1" t="s">
        <v>18</v>
      </c>
      <c r="B24" t="s">
        <v>59</v>
      </c>
      <c r="C24">
        <v>4</v>
      </c>
    </row>
    <row r="25" spans="1:3" x14ac:dyDescent="0.25">
      <c r="C25" t="str">
        <v/>
      </c>
    </row>
    <row r="26" spans="1:3" ht="30" x14ac:dyDescent="0.25">
      <c r="A26" s="1" t="s">
        <v>25</v>
      </c>
      <c r="C26" t="str">
        <v/>
      </c>
    </row>
    <row r="27" spans="1:3" x14ac:dyDescent="0.25">
      <c r="A27" s="1" t="s">
        <v>26</v>
      </c>
      <c r="B27" t="s">
        <v>59</v>
      </c>
      <c r="C27">
        <v>4</v>
      </c>
    </row>
    <row r="28" spans="1:3" x14ac:dyDescent="0.25">
      <c r="A28" s="1" t="s">
        <v>27</v>
      </c>
      <c r="B28" t="s">
        <v>59</v>
      </c>
      <c r="C28">
        <v>4</v>
      </c>
    </row>
    <row r="29" spans="1:3" x14ac:dyDescent="0.25">
      <c r="A29" s="1" t="s">
        <v>28</v>
      </c>
      <c r="B29" t="s">
        <v>59</v>
      </c>
      <c r="C29">
        <v>4</v>
      </c>
    </row>
    <row r="30" spans="1:3" x14ac:dyDescent="0.25">
      <c r="A30" s="1" t="s">
        <v>29</v>
      </c>
      <c r="B30" t="s">
        <v>59</v>
      </c>
      <c r="C30">
        <v>4</v>
      </c>
    </row>
    <row r="31" spans="1:3" x14ac:dyDescent="0.25">
      <c r="A31" s="1" t="s">
        <v>30</v>
      </c>
      <c r="B31" t="s">
        <v>59</v>
      </c>
      <c r="C31">
        <v>4</v>
      </c>
    </row>
    <row r="32" spans="1:3" x14ac:dyDescent="0.25">
      <c r="A32" s="1" t="s">
        <v>31</v>
      </c>
      <c r="B32" t="s">
        <v>59</v>
      </c>
      <c r="C32">
        <v>4</v>
      </c>
    </row>
    <row r="33" spans="1:3" x14ac:dyDescent="0.25">
      <c r="A33" s="1" t="s">
        <v>32</v>
      </c>
      <c r="B33" t="s">
        <v>59</v>
      </c>
      <c r="C33">
        <v>4</v>
      </c>
    </row>
    <row r="34" spans="1:3" x14ac:dyDescent="0.25">
      <c r="C34" t="str">
        <v/>
      </c>
    </row>
    <row r="35" spans="1:3" ht="60" x14ac:dyDescent="0.25">
      <c r="A35" s="1" t="s">
        <v>33</v>
      </c>
      <c r="C35" t="str">
        <v/>
      </c>
    </row>
    <row r="36" spans="1:3" x14ac:dyDescent="0.25">
      <c r="A36" s="1" t="s">
        <v>34</v>
      </c>
      <c r="B36" t="s">
        <v>59</v>
      </c>
      <c r="C36">
        <v>4</v>
      </c>
    </row>
    <row r="37" spans="1:3" x14ac:dyDescent="0.25">
      <c r="A37" s="1" t="s">
        <v>35</v>
      </c>
      <c r="B37" t="s">
        <v>59</v>
      </c>
      <c r="C37">
        <v>4</v>
      </c>
    </row>
    <row r="38" spans="1:3" x14ac:dyDescent="0.25">
      <c r="A38" s="1" t="s">
        <v>36</v>
      </c>
      <c r="B38" t="s">
        <v>59</v>
      </c>
      <c r="C38">
        <v>4</v>
      </c>
    </row>
    <row r="39" spans="1:3" x14ac:dyDescent="0.25">
      <c r="A39" s="1" t="s">
        <v>37</v>
      </c>
      <c r="B39" t="s">
        <v>59</v>
      </c>
      <c r="C39">
        <v>4</v>
      </c>
    </row>
    <row r="40" spans="1:3" x14ac:dyDescent="0.25">
      <c r="A40" s="1" t="s">
        <v>38</v>
      </c>
      <c r="B40" t="s">
        <v>59</v>
      </c>
      <c r="C40">
        <v>4</v>
      </c>
    </row>
    <row r="41" spans="1:3" x14ac:dyDescent="0.25">
      <c r="A41" s="1" t="s">
        <v>39</v>
      </c>
      <c r="B41" t="s">
        <v>59</v>
      </c>
      <c r="C41">
        <v>4</v>
      </c>
    </row>
    <row r="42" spans="1:3" x14ac:dyDescent="0.25">
      <c r="C42" t="str">
        <v/>
      </c>
    </row>
    <row r="43" spans="1:3" x14ac:dyDescent="0.25">
      <c r="A43" s="1" t="s">
        <v>40</v>
      </c>
      <c r="B43" t="s">
        <v>59</v>
      </c>
      <c r="C43">
        <v>4</v>
      </c>
    </row>
    <row r="44" spans="1:3" x14ac:dyDescent="0.25">
      <c r="A44" s="1" t="s">
        <v>41</v>
      </c>
      <c r="B44" t="s">
        <v>60</v>
      </c>
      <c r="C44">
        <v>32</v>
      </c>
    </row>
    <row r="45" spans="1:3" x14ac:dyDescent="0.25">
      <c r="A45" s="1" t="s">
        <v>42</v>
      </c>
      <c r="B45" t="s">
        <v>58</v>
      </c>
      <c r="C45">
        <v>2</v>
      </c>
    </row>
    <row r="46" spans="1:3" x14ac:dyDescent="0.25">
      <c r="C46" t="str">
        <v/>
      </c>
    </row>
    <row r="47" spans="1:3" ht="30" x14ac:dyDescent="0.25">
      <c r="A47" s="1" t="s">
        <v>43</v>
      </c>
      <c r="C47" t="str">
        <v/>
      </c>
    </row>
    <row r="48" spans="1:3" x14ac:dyDescent="0.25">
      <c r="A48" s="1" t="s">
        <v>44</v>
      </c>
      <c r="B48" t="s">
        <v>59</v>
      </c>
      <c r="C48">
        <v>4</v>
      </c>
    </row>
    <row r="49" spans="1:3" x14ac:dyDescent="0.25">
      <c r="A49" s="1" t="s">
        <v>45</v>
      </c>
      <c r="B49" t="s">
        <v>56</v>
      </c>
      <c r="C49">
        <v>5</v>
      </c>
    </row>
    <row r="50" spans="1:3" x14ac:dyDescent="0.25">
      <c r="A50" s="1" t="s">
        <v>44</v>
      </c>
      <c r="B50" t="s">
        <v>59</v>
      </c>
      <c r="C50">
        <v>4</v>
      </c>
    </row>
    <row r="51" spans="1:3" x14ac:dyDescent="0.25">
      <c r="A51" s="1" t="s">
        <v>46</v>
      </c>
      <c r="B51" t="s">
        <v>56</v>
      </c>
      <c r="C51">
        <v>5</v>
      </c>
    </row>
    <row r="52" spans="1:3" x14ac:dyDescent="0.25">
      <c r="A52" s="1" t="s">
        <v>44</v>
      </c>
      <c r="B52" t="s">
        <v>59</v>
      </c>
      <c r="C52">
        <v>4</v>
      </c>
    </row>
    <row r="53" spans="1:3" x14ac:dyDescent="0.25">
      <c r="A53" s="1" t="s">
        <v>47</v>
      </c>
      <c r="B53" t="s">
        <v>56</v>
      </c>
      <c r="C53">
        <v>5</v>
      </c>
    </row>
    <row r="54" spans="1:3" x14ac:dyDescent="0.25">
      <c r="A54" s="1" t="s">
        <v>44</v>
      </c>
      <c r="B54" t="s">
        <v>59</v>
      </c>
      <c r="C54">
        <v>4</v>
      </c>
    </row>
    <row r="55" spans="1:3" x14ac:dyDescent="0.25">
      <c r="A55" s="1" t="s">
        <v>48</v>
      </c>
      <c r="B55" t="s">
        <v>56</v>
      </c>
      <c r="C55">
        <v>5</v>
      </c>
    </row>
    <row r="56" spans="1:3" x14ac:dyDescent="0.25">
      <c r="A56" s="1" t="s">
        <v>44</v>
      </c>
      <c r="B56" t="s">
        <v>59</v>
      </c>
      <c r="C56">
        <v>4</v>
      </c>
    </row>
    <row r="57" spans="1:3" x14ac:dyDescent="0.25">
      <c r="A57" s="1" t="s">
        <v>49</v>
      </c>
      <c r="B57" t="s">
        <v>56</v>
      </c>
      <c r="C57">
        <v>5</v>
      </c>
    </row>
    <row r="58" spans="1:3" x14ac:dyDescent="0.25">
      <c r="A58" s="1" t="s">
        <v>44</v>
      </c>
      <c r="B58" t="s">
        <v>59</v>
      </c>
      <c r="C58">
        <v>4</v>
      </c>
    </row>
    <row r="59" spans="1:3" x14ac:dyDescent="0.25">
      <c r="A59" s="1" t="s">
        <v>50</v>
      </c>
      <c r="B59" t="s">
        <v>56</v>
      </c>
      <c r="C59">
        <v>5</v>
      </c>
    </row>
    <row r="60" spans="1:3" x14ac:dyDescent="0.25">
      <c r="A60" s="1" t="s">
        <v>44</v>
      </c>
      <c r="B60" t="s">
        <v>59</v>
      </c>
      <c r="C60">
        <v>4</v>
      </c>
    </row>
    <row r="61" spans="1:3" x14ac:dyDescent="0.25">
      <c r="A61" s="1" t="s">
        <v>51</v>
      </c>
      <c r="B61" t="s">
        <v>56</v>
      </c>
      <c r="C61">
        <v>5</v>
      </c>
    </row>
    <row r="62" spans="1:3" x14ac:dyDescent="0.25">
      <c r="C62" t="str">
        <v/>
      </c>
    </row>
    <row r="63" spans="1:3" x14ac:dyDescent="0.25">
      <c r="A63" s="1" t="s">
        <v>52</v>
      </c>
      <c r="C63" t="str">
        <v/>
      </c>
    </row>
    <row r="64" spans="1:3" x14ac:dyDescent="0.25">
      <c r="C64" t="str">
        <v/>
      </c>
    </row>
    <row r="65" spans="1:3" x14ac:dyDescent="0.25">
      <c r="A65" s="1" t="s">
        <v>53</v>
      </c>
      <c r="B65" t="s">
        <v>62</v>
      </c>
      <c r="C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3</vt:lpstr>
      <vt:lpstr>ISR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Pasitchnyj</dc:creator>
  <cp:lastModifiedBy>Coen Pasitchnyj</cp:lastModifiedBy>
  <dcterms:created xsi:type="dcterms:W3CDTF">2026-05-04T00:30:09Z</dcterms:created>
  <dcterms:modified xsi:type="dcterms:W3CDTF">2026-05-04T01:08:18Z</dcterms:modified>
</cp:coreProperties>
</file>